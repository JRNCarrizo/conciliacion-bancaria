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 Activos\Consiliacion-Bancaria\muestras\excel\"/>
    </mc:Choice>
  </mc:AlternateContent>
  <xr:revisionPtr revIDLastSave="0" documentId="13_ncr:1_{9738BCF3-A752-4966-89FC-620D8966F7DF}" xr6:coauthVersionLast="47" xr6:coauthVersionMax="47" xr10:uidLastSave="{00000000-0000-0000-0000-000000000000}"/>
  <bookViews>
    <workbookView xWindow="-110" yWindow="-110" windowWidth="19420" windowHeight="10300" xr2:uid="{C6B799B7-9954-44BA-90EE-B75E6CBB38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H11" i="1" s="1"/>
  <c r="H12" i="1" s="1"/>
  <c r="H9" i="1"/>
  <c r="H6" i="1"/>
  <c r="H7" i="1"/>
  <c r="H8" i="1" s="1"/>
  <c r="H5" i="1"/>
</calcChain>
</file>

<file path=xl/sharedStrings.xml><?xml version="1.0" encoding="utf-8"?>
<sst xmlns="http://schemas.openxmlformats.org/spreadsheetml/2006/main" count="56" uniqueCount="38">
  <si>
    <t>TES9040-Rut. cons. Resumen bancario</t>
  </si>
  <si>
    <t>Fecha 
contable</t>
  </si>
  <si>
    <t>División</t>
  </si>
  <si>
    <t>Tipo</t>
  </si>
  <si>
    <t>OP</t>
  </si>
  <si>
    <t>RCC</t>
  </si>
  <si>
    <t>TRC</t>
  </si>
  <si>
    <t>Número</t>
  </si>
  <si>
    <t>Fecha 
banco</t>
  </si>
  <si>
    <t>Debe</t>
  </si>
  <si>
    <t>Haber</t>
  </si>
  <si>
    <t>Saldo</t>
  </si>
  <si>
    <t>Número
cheque</t>
  </si>
  <si>
    <t>Observacion</t>
  </si>
  <si>
    <t>Miguel</t>
  </si>
  <si>
    <t>STE</t>
  </si>
  <si>
    <t>Liq Fcs</t>
  </si>
  <si>
    <t>Verduleria</t>
  </si>
  <si>
    <t>transferencia Santander OSDE</t>
  </si>
  <si>
    <t>Q electric</t>
  </si>
  <si>
    <t>KATECH</t>
  </si>
  <si>
    <t>Tipo de 
Sujeto</t>
  </si>
  <si>
    <t>Proveedor</t>
  </si>
  <si>
    <t>Cliente</t>
  </si>
  <si>
    <t>Código
Sujeto</t>
  </si>
  <si>
    <t>Nombre del
Sujeto</t>
  </si>
  <si>
    <t>Proveedores Eventuales</t>
  </si>
  <si>
    <t>Caceres Andrea Melina</t>
  </si>
  <si>
    <t>STE Comunicaciones y Seg Elect</t>
  </si>
  <si>
    <t>MACRO</t>
  </si>
  <si>
    <t>Cuit del 
Sujeto</t>
  </si>
  <si>
    <t>27-40133002-5</t>
  </si>
  <si>
    <t>23-32582213-9</t>
  </si>
  <si>
    <t>30-50001008-4</t>
  </si>
  <si>
    <t>30716591774</t>
  </si>
  <si>
    <t>20-39295493-8</t>
  </si>
  <si>
    <t>20-39295493-9</t>
  </si>
  <si>
    <t>Provee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</si>
</sst>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14" fontId="0" fillId="0" borderId="0" xfId="0" applyNumberFormat="1" applyFill="1"/>
    <xf numFmtId="4" fontId="0" fillId="0" borderId="0" xfId="0" applyNumberFormat="1" applyFill="1"/>
    <xf numFmtId="2" fontId="0" fillId="0" borderId="0" xfId="0" applyNumberFormat="1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0620-4C87-4DC9-9DA9-B82BF8FDEF76}">
  <dimension ref="A1:O18"/>
  <sheetViews>
    <sheetView tabSelected="1" workbookViewId="0">
      <selection activeCell="F9" sqref="F9"/>
    </sheetView>
  </sheetViews>
  <sheetFormatPr baseColWidth="10" defaultRowHeight="14.5" x14ac:dyDescent="0.35"/>
  <cols>
    <col min="6" max="6" width="12.6328125" bestFit="1" customWidth="1"/>
    <col min="7" max="7" width="11.6328125" bestFit="1" customWidth="1"/>
    <col min="8" max="8" width="12.6328125" bestFit="1" customWidth="1"/>
    <col min="11" max="11" width="13.81640625" customWidth="1"/>
  </cols>
  <sheetData>
    <row r="1" spans="1:1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9" x14ac:dyDescent="0.35">
      <c r="A3" s="2" t="s">
        <v>1</v>
      </c>
      <c r="B3" s="1" t="s">
        <v>2</v>
      </c>
      <c r="C3" s="1" t="s">
        <v>3</v>
      </c>
      <c r="D3" s="1" t="s">
        <v>7</v>
      </c>
      <c r="E3" s="2" t="s">
        <v>8</v>
      </c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2" t="s">
        <v>21</v>
      </c>
      <c r="L3" s="2" t="s">
        <v>24</v>
      </c>
      <c r="M3" s="2" t="s">
        <v>25</v>
      </c>
      <c r="N3" s="2" t="s">
        <v>30</v>
      </c>
      <c r="O3" s="1"/>
    </row>
    <row r="4" spans="1:15" x14ac:dyDescent="0.35">
      <c r="A4" s="3">
        <v>45931</v>
      </c>
      <c r="B4" s="1">
        <v>1</v>
      </c>
      <c r="C4" s="1" t="s">
        <v>4</v>
      </c>
      <c r="D4" s="1">
        <v>2217</v>
      </c>
      <c r="E4" s="3">
        <v>45931</v>
      </c>
      <c r="F4" s="4">
        <v>0</v>
      </c>
      <c r="G4" s="4">
        <v>2100000</v>
      </c>
      <c r="H4" s="4">
        <v>17680370.620000001</v>
      </c>
      <c r="I4" s="5"/>
      <c r="J4" s="1" t="s">
        <v>14</v>
      </c>
      <c r="K4" s="1" t="s">
        <v>22</v>
      </c>
      <c r="L4" s="1">
        <v>258</v>
      </c>
      <c r="M4" s="1" t="s">
        <v>27</v>
      </c>
      <c r="N4" s="6" t="s">
        <v>31</v>
      </c>
      <c r="O4" s="1"/>
    </row>
    <row r="5" spans="1:15" x14ac:dyDescent="0.35">
      <c r="A5" s="3">
        <v>45938</v>
      </c>
      <c r="B5" s="1">
        <v>1</v>
      </c>
      <c r="C5" s="1" t="s">
        <v>4</v>
      </c>
      <c r="D5" s="1">
        <v>2243</v>
      </c>
      <c r="E5" s="3">
        <v>45938</v>
      </c>
      <c r="F5" s="4">
        <v>0</v>
      </c>
      <c r="G5" s="4">
        <v>87771.26</v>
      </c>
      <c r="H5" s="4">
        <f>+H4-G5</f>
        <v>17592599.359999999</v>
      </c>
      <c r="I5" s="1">
        <v>72411919</v>
      </c>
      <c r="J5" s="1" t="s">
        <v>17</v>
      </c>
      <c r="K5" s="1" t="s">
        <v>22</v>
      </c>
      <c r="L5" s="1">
        <v>252</v>
      </c>
      <c r="M5" s="1" t="s">
        <v>26</v>
      </c>
      <c r="N5" s="1"/>
      <c r="O5" s="1"/>
    </row>
    <row r="6" spans="1:15" x14ac:dyDescent="0.35">
      <c r="A6" s="3">
        <v>45944</v>
      </c>
      <c r="B6" s="1">
        <v>1</v>
      </c>
      <c r="C6" s="1" t="s">
        <v>6</v>
      </c>
      <c r="D6" s="1">
        <v>319</v>
      </c>
      <c r="E6" s="3">
        <v>45944</v>
      </c>
      <c r="F6" s="4">
        <v>0</v>
      </c>
      <c r="G6" s="4">
        <v>2000000</v>
      </c>
      <c r="H6" s="4">
        <f t="shared" ref="H6:H8" si="0">+H5-G6</f>
        <v>15592599.359999999</v>
      </c>
      <c r="I6" s="1">
        <v>0</v>
      </c>
      <c r="J6" s="1" t="s">
        <v>18</v>
      </c>
      <c r="K6" s="1"/>
      <c r="L6" s="1">
        <v>0</v>
      </c>
      <c r="M6" s="1"/>
      <c r="N6" s="1"/>
      <c r="O6" s="1"/>
    </row>
    <row r="7" spans="1:15" x14ac:dyDescent="0.35">
      <c r="A7" s="3">
        <v>45944</v>
      </c>
      <c r="B7" s="1">
        <v>1</v>
      </c>
      <c r="C7" s="1" t="s">
        <v>4</v>
      </c>
      <c r="D7" s="1">
        <v>2287</v>
      </c>
      <c r="E7" s="3">
        <v>45944</v>
      </c>
      <c r="F7" s="4">
        <v>0</v>
      </c>
      <c r="G7" s="4">
        <v>1462806.31</v>
      </c>
      <c r="H7" s="4">
        <f t="shared" si="0"/>
        <v>14129793.049999999</v>
      </c>
      <c r="I7" s="1">
        <v>72694423</v>
      </c>
      <c r="J7" s="1" t="s">
        <v>15</v>
      </c>
      <c r="K7" s="1" t="s">
        <v>22</v>
      </c>
      <c r="L7" s="1">
        <v>263</v>
      </c>
      <c r="M7" s="1" t="s">
        <v>28</v>
      </c>
      <c r="N7" s="6" t="s">
        <v>32</v>
      </c>
      <c r="O7" s="1"/>
    </row>
    <row r="8" spans="1:15" x14ac:dyDescent="0.35">
      <c r="A8" s="3">
        <v>45944</v>
      </c>
      <c r="B8" s="1">
        <v>1</v>
      </c>
      <c r="C8" s="1" t="s">
        <v>4</v>
      </c>
      <c r="D8" s="1">
        <v>2288</v>
      </c>
      <c r="E8" s="3">
        <v>45944</v>
      </c>
      <c r="F8" s="4">
        <v>0</v>
      </c>
      <c r="G8" s="4">
        <v>16176.89</v>
      </c>
      <c r="H8" s="4">
        <f t="shared" si="0"/>
        <v>14113616.159999998</v>
      </c>
      <c r="I8" s="1">
        <v>72694421</v>
      </c>
      <c r="J8" s="1" t="s">
        <v>19</v>
      </c>
      <c r="K8" s="1" t="s">
        <v>22</v>
      </c>
      <c r="L8" s="1">
        <v>79</v>
      </c>
      <c r="M8" s="1" t="s">
        <v>19</v>
      </c>
      <c r="N8" s="6" t="s">
        <v>34</v>
      </c>
      <c r="O8" s="1"/>
    </row>
    <row r="9" spans="1:15" x14ac:dyDescent="0.35">
      <c r="A9" s="3">
        <v>45944</v>
      </c>
      <c r="B9" s="1">
        <v>1</v>
      </c>
      <c r="C9" s="1" t="s">
        <v>5</v>
      </c>
      <c r="D9" s="1">
        <v>655</v>
      </c>
      <c r="E9" s="3">
        <v>45944</v>
      </c>
      <c r="F9" s="4">
        <v>1036707.21</v>
      </c>
      <c r="G9" s="4">
        <v>0</v>
      </c>
      <c r="H9" s="4">
        <f>+H8-G9+F9</f>
        <v>15150323.369999997</v>
      </c>
      <c r="I9" s="1">
        <v>0</v>
      </c>
      <c r="J9" s="1" t="s">
        <v>16</v>
      </c>
      <c r="K9" s="1" t="s">
        <v>23</v>
      </c>
      <c r="L9" s="1">
        <v>1</v>
      </c>
      <c r="M9" s="1" t="s">
        <v>29</v>
      </c>
      <c r="N9" s="6" t="s">
        <v>33</v>
      </c>
      <c r="O9" s="1"/>
    </row>
    <row r="10" spans="1:15" x14ac:dyDescent="0.35">
      <c r="A10" s="3">
        <v>45952</v>
      </c>
      <c r="B10" s="1">
        <v>1</v>
      </c>
      <c r="C10" s="1" t="s">
        <v>5</v>
      </c>
      <c r="D10" s="1">
        <v>664</v>
      </c>
      <c r="E10" s="3">
        <v>45952</v>
      </c>
      <c r="F10" s="4">
        <v>3340005.02</v>
      </c>
      <c r="G10" s="4">
        <v>0</v>
      </c>
      <c r="H10" s="4">
        <f>+H9-G10+F10</f>
        <v>18490328.389999997</v>
      </c>
      <c r="I10" s="1">
        <v>0</v>
      </c>
      <c r="J10" s="1" t="s">
        <v>16</v>
      </c>
      <c r="K10" s="1" t="s">
        <v>23</v>
      </c>
      <c r="L10" s="1">
        <v>1</v>
      </c>
      <c r="M10" s="1" t="s">
        <v>29</v>
      </c>
      <c r="N10" s="6" t="s">
        <v>33</v>
      </c>
      <c r="O10" s="1"/>
    </row>
    <row r="11" spans="1:15" x14ac:dyDescent="0.35">
      <c r="A11" s="3">
        <v>45958</v>
      </c>
      <c r="B11" s="1">
        <v>1</v>
      </c>
      <c r="C11" s="1" t="s">
        <v>4</v>
      </c>
      <c r="D11" s="1">
        <v>2367</v>
      </c>
      <c r="E11" s="3">
        <v>45958</v>
      </c>
      <c r="F11" s="4">
        <v>0</v>
      </c>
      <c r="G11" s="4">
        <v>159662</v>
      </c>
      <c r="H11" s="4">
        <f>+H10-G11+F11</f>
        <v>18330666.389999997</v>
      </c>
      <c r="I11" s="1">
        <v>73387328</v>
      </c>
      <c r="J11" s="1" t="s">
        <v>20</v>
      </c>
      <c r="K11" s="1" t="s">
        <v>22</v>
      </c>
      <c r="L11" s="1">
        <v>289</v>
      </c>
      <c r="M11" s="1" t="s">
        <v>20</v>
      </c>
      <c r="N11" s="6" t="s">
        <v>35</v>
      </c>
      <c r="O11" s="1"/>
    </row>
    <row r="12" spans="1:15" x14ac:dyDescent="0.35">
      <c r="A12" s="3">
        <v>45959</v>
      </c>
      <c r="B12" s="1">
        <v>2</v>
      </c>
      <c r="C12" s="1" t="s">
        <v>4</v>
      </c>
      <c r="D12" s="1">
        <v>238</v>
      </c>
      <c r="E12" s="3">
        <v>45959</v>
      </c>
      <c r="F12" s="4">
        <v>0</v>
      </c>
      <c r="G12" s="4">
        <v>159662</v>
      </c>
      <c r="H12" s="4">
        <f>+H11-G12+F12</f>
        <v>18171004.389999997</v>
      </c>
      <c r="I12" s="1">
        <v>73387329</v>
      </c>
      <c r="J12" s="1" t="s">
        <v>20</v>
      </c>
      <c r="K12" s="1" t="s">
        <v>37</v>
      </c>
      <c r="L12" s="1">
        <v>2900</v>
      </c>
      <c r="M12" s="1" t="s">
        <v>20</v>
      </c>
      <c r="N12" s="6" t="s">
        <v>36</v>
      </c>
      <c r="O12" s="1"/>
    </row>
    <row r="13" spans="1:1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Lujan</dc:creator>
  <cp:lastModifiedBy>jorge nicolas carrizo</cp:lastModifiedBy>
  <dcterms:created xsi:type="dcterms:W3CDTF">2025-12-02T15:13:23Z</dcterms:created>
  <dcterms:modified xsi:type="dcterms:W3CDTF">2026-06-20T17:34:55Z</dcterms:modified>
</cp:coreProperties>
</file>